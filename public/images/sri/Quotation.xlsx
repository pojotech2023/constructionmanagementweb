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Sowmiya\Downloads\"/>
    </mc:Choice>
  </mc:AlternateContent>
  <xr:revisionPtr revIDLastSave="0" documentId="13_ncr:1_{A35C8F7D-DB28-44CB-886C-02EFC13642BA}" xr6:coauthVersionLast="47" xr6:coauthVersionMax="47" xr10:uidLastSave="{00000000-0000-0000-0000-000000000000}"/>
  <bookViews>
    <workbookView xWindow="-108" yWindow="-108" windowWidth="23256" windowHeight="12456" xr2:uid="{00000000-000D-0000-FFFF-FFFF00000000}"/>
  </bookViews>
  <sheets>
    <sheet name="Abstrac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Eign4/Hbalj3z9DBV4NRIp3RvxJ4qVaDWeHEFNDPhRw="/>
    </ext>
  </extLst>
</workbook>
</file>

<file path=xl/calcChain.xml><?xml version="1.0" encoding="utf-8"?>
<calcChain xmlns="http://schemas.openxmlformats.org/spreadsheetml/2006/main">
  <c r="F27" i="1" l="1"/>
  <c r="F29" i="1"/>
  <c r="F22" i="1" l="1"/>
  <c r="F23" i="1"/>
  <c r="E15" i="1" l="1"/>
  <c r="E25" i="1" l="1"/>
  <c r="F25" i="1" s="1"/>
  <c r="D21" i="1"/>
  <c r="F21" i="1" s="1"/>
  <c r="E20" i="1"/>
  <c r="D26" i="1"/>
  <c r="F26" i="1" s="1"/>
  <c r="D15" i="1"/>
  <c r="F15" i="1" s="1"/>
  <c r="D14" i="1" l="1"/>
  <c r="F14" i="1" s="1"/>
  <c r="D20" i="1"/>
  <c r="F20" i="1" s="1"/>
  <c r="D19" i="1"/>
  <c r="F19" i="1" s="1"/>
  <c r="D18" i="1"/>
  <c r="F18" i="1" s="1"/>
  <c r="D16" i="1"/>
  <c r="D17" i="1" s="1"/>
  <c r="F17" i="1" s="1"/>
  <c r="D28" i="1"/>
  <c r="F28" i="1" s="1"/>
  <c r="F16" i="1" l="1"/>
  <c r="D24" i="1"/>
  <c r="F24" i="1" s="1"/>
  <c r="D30" i="1" l="1"/>
  <c r="F11" i="1"/>
  <c r="F7" i="1" l="1"/>
  <c r="F8" i="1"/>
  <c r="F9" i="1"/>
  <c r="F10" i="1"/>
  <c r="F6" i="1" l="1"/>
  <c r="F33" i="1" l="1"/>
  <c r="F35" i="1" l="1"/>
  <c r="F34" i="1" l="1"/>
  <c r="F36" i="1" s="1"/>
</calcChain>
</file>

<file path=xl/sharedStrings.xml><?xml version="1.0" encoding="utf-8"?>
<sst xmlns="http://schemas.openxmlformats.org/spreadsheetml/2006/main" count="74" uniqueCount="56">
  <si>
    <t>Name of the Client:</t>
  </si>
  <si>
    <t>Date:</t>
  </si>
  <si>
    <t>Project Location:</t>
  </si>
  <si>
    <t>Contractor:</t>
  </si>
  <si>
    <t>SS Build Craft</t>
  </si>
  <si>
    <t>Description</t>
  </si>
  <si>
    <t>Unit</t>
  </si>
  <si>
    <t>Area/ Capacity</t>
  </si>
  <si>
    <t>Rate</t>
  </si>
  <si>
    <t>Amount</t>
  </si>
  <si>
    <t xml:space="preserve">Parking </t>
  </si>
  <si>
    <t>Sqft</t>
  </si>
  <si>
    <t xml:space="preserve">GF </t>
  </si>
  <si>
    <t>1st floor</t>
  </si>
  <si>
    <t>Head room</t>
  </si>
  <si>
    <t>Lit</t>
  </si>
  <si>
    <t>Additional works</t>
  </si>
  <si>
    <t>Rft</t>
  </si>
  <si>
    <t>Nos</t>
  </si>
  <si>
    <t>Total</t>
  </si>
  <si>
    <t>GST @ 18%</t>
  </si>
  <si>
    <t>Grand Total</t>
  </si>
  <si>
    <t>Amount In words:</t>
  </si>
  <si>
    <t>Note:</t>
  </si>
  <si>
    <t>The above mentioned rate is for the provided Technical specification &amp; Customer Choosen packge and any changes to the same by the client will be charged additional upon mutual discussion on pro rata basis.</t>
  </si>
  <si>
    <t>The material prices in Make &amp; Basic price list of the package may vary for steel &amp; cement as per the market rates and the same shall be applicable at the signing of contract.</t>
  </si>
  <si>
    <t>GST is applicable as per the latest revision made by CGST &amp; SGST authorities and the same shall be applicable as and when deemed to be necessary.</t>
  </si>
  <si>
    <t>Rate variations upto +/- 5% for Steel, Cement &amp; RMC shall be absorbed by the contractor and anything above or below that threshold shall be payable to the relevant party. For all other materials, any increase above the basic price given shall be payable by the client.</t>
  </si>
  <si>
    <t>Material Basic rates provided are inclusive of GST and Trasportation</t>
  </si>
  <si>
    <t>Vendor/ Contractor to follow the site quality &amp; safety guidelines in compliance to formats/ SOP prescribed by JSW One Homes team.</t>
  </si>
  <si>
    <t>Mrs.Amudha</t>
  </si>
  <si>
    <t>Adambakkam</t>
  </si>
  <si>
    <t>UG Sump</t>
  </si>
  <si>
    <t>Compound wall 5ft height from NGL (4.50" brickwall with Augur pile foundation)</t>
  </si>
  <si>
    <t>Solar / UPS / CCTV Conduit provision</t>
  </si>
  <si>
    <t>appx qty considered</t>
  </si>
  <si>
    <t>Rain water Harvesting</t>
  </si>
  <si>
    <t>Plinth Height Increase 2 ft</t>
  </si>
  <si>
    <t>Additional Earthing for Solar</t>
  </si>
  <si>
    <t>One Crore Eighty Nine Lakhs Seven Thousand Four Hundred and Thirty Seven only</t>
  </si>
  <si>
    <t>Kgs</t>
  </si>
  <si>
    <t>Additional windows beyond 10% of Builtup area</t>
  </si>
  <si>
    <t>Additional windows Grills beyond 10% of Builtup area</t>
  </si>
  <si>
    <t>Main door - 1 No additional</t>
  </si>
  <si>
    <t>Bedroom door - 1 No additional</t>
  </si>
  <si>
    <t>Toilet door &amp; CP fiitings - 4 No additional</t>
  </si>
  <si>
    <t>OHT - 3 layer PVC tank</t>
  </si>
  <si>
    <t>Stilt Floor Roof Additional height - 1.50 ft</t>
  </si>
  <si>
    <t>Terrace Door MS Gate</t>
  </si>
  <si>
    <t>Main Door MS Gates</t>
  </si>
  <si>
    <t>Elevation &amp; Additional works</t>
  </si>
  <si>
    <t>Additional footing depth 1.50 ft beyond 5ft</t>
  </si>
  <si>
    <t>Additional steel beyond the limit of 3.20kgs / sqft, Structure designed for S+2,</t>
  </si>
  <si>
    <t>Bitumen coating on basement walls for dampness Protection</t>
  </si>
  <si>
    <t xml:space="preserve">Project management fee </t>
  </si>
  <si>
    <t>Logo of the firm
Name of the firm
Address of the firm
(Note: This are all should be changeable)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</si>
</sst>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_(* #,##0.00_);_(* \(#,##0.00\);_(* &quot;-&quot;??_);_(@_)"/>
    <numFmt numFmtId="165" formatCode="_(* #,##0_);_(* \(#,##0\);_(* &quot;-&quot;??_);_(@_)"/>
    <numFmt numFmtId="166" formatCode="_ * #,##0_ ;_ * \-#,##0_ ;_ * &quot;-&quot;??_ ;_ @_ "/>
    <numFmt numFmtId="167" formatCode="0.000"/>
  </numFmts>
  <fonts count="20" x14ac:knownFonts="1">
    <font>
      <sz val="11"/>
      <color theme="1"/>
      <name val="Aptos Narrow"/>
      <scheme val="minor"/>
    </font>
    <font>
      <b/>
      <sz val="12"/>
      <color theme="1"/>
      <name val="Trebuchet MS"/>
      <family val="2"/>
    </font>
    <font>
      <sz val="11"/>
      <name val="Aptos Narrow"/>
    </font>
    <font>
      <sz val="11"/>
      <color theme="1"/>
      <name val="Aptos Narrow"/>
    </font>
    <font>
      <b/>
      <sz val="10"/>
      <color rgb="FF333333"/>
      <name val="Arial"/>
      <family val="2"/>
    </font>
    <font>
      <b/>
      <sz val="11"/>
      <color rgb="FF181818"/>
      <name val="Arial"/>
      <family val="2"/>
    </font>
    <font>
      <b/>
      <sz val="10"/>
      <color theme="1"/>
      <name val="Trebuchet MS"/>
      <family val="2"/>
    </font>
    <font>
      <sz val="10"/>
      <color theme="1"/>
      <name val="Trebuchet MS"/>
      <family val="2"/>
    </font>
    <font>
      <b/>
      <sz val="11"/>
      <color theme="1"/>
      <name val="Trebuchet MS"/>
      <family val="2"/>
    </font>
    <font>
      <sz val="12"/>
      <color theme="1"/>
      <name val="Trebuchet MS"/>
      <family val="2"/>
    </font>
    <font>
      <sz val="11"/>
      <color theme="1"/>
      <name val="Calibri"/>
      <family val="2"/>
    </font>
    <font>
      <b/>
      <sz val="8"/>
      <color theme="1"/>
      <name val="Arial"/>
      <family val="2"/>
    </font>
    <font>
      <sz val="8"/>
      <color theme="1"/>
      <name val="Arial"/>
      <family val="2"/>
    </font>
    <font>
      <sz val="11"/>
      <color theme="1"/>
      <name val="Aptos Narrow"/>
      <scheme val="minor"/>
    </font>
    <font>
      <b/>
      <sz val="10"/>
      <name val="Trebuchet MS"/>
      <family val="2"/>
    </font>
    <font>
      <sz val="10"/>
      <name val="Trebuchet MS"/>
      <family val="2"/>
    </font>
    <font>
      <sz val="10"/>
      <color theme="1"/>
      <name val="Trebuchet MS"/>
      <family val="2"/>
    </font>
    <font>
      <sz val="11"/>
      <color theme="1"/>
      <name val="Trebuchet MS"/>
      <family val="2"/>
    </font>
    <font>
      <sz val="11"/>
      <color theme="1"/>
      <name val="Aptos Narrow"/>
      <family val="2"/>
    </font>
    <font>
      <b/>
      <sz val="11"/>
      <color theme="1"/>
      <name val="Aptos Narrow"/>
      <family val="2"/>
    </font>
  </fonts>
  <fills count="4">
    <fill>
      <patternFill patternType="none"/>
    </fill>
    <fill>
      <patternFill patternType="gray125"/>
    </fill>
    <fill>
      <patternFill patternType="solid">
        <fgColor rgb="FFFFFFFF"/>
        <bgColor rgb="FFFFFFFF"/>
      </patternFill>
    </fill>
    <fill>
      <patternFill patternType="solid">
        <fgColor rgb="FFFFFF00"/>
        <bgColor indexed="64"/>
      </patternFill>
    </fill>
  </fills>
  <borders count="26">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style="thin">
        <color rgb="FF000000"/>
      </left>
      <right/>
      <top/>
      <bottom style="thin">
        <color rgb="FF000000"/>
      </bottom>
      <diagonal/>
    </border>
    <border>
      <left/>
      <right/>
      <top/>
      <bottom style="thin">
        <color rgb="FF000000"/>
      </bottom>
      <diagonal/>
    </border>
    <border>
      <left style="medium">
        <color rgb="FF000000"/>
      </left>
      <right/>
      <top style="medium">
        <color rgb="FFCCCCCC"/>
      </top>
      <bottom style="medium">
        <color rgb="FF000000"/>
      </bottom>
      <diagonal/>
    </border>
  </borders>
  <cellStyleXfs count="2">
    <xf numFmtId="0" fontId="0" fillId="0" borderId="0"/>
    <xf numFmtId="43" fontId="13" fillId="0" borderId="0" applyFont="0" applyFill="0" applyBorder="0" applyAlignment="0" applyProtection="0"/>
  </cellStyleXfs>
  <cellXfs count="63">
    <xf numFmtId="0" fontId="0" fillId="0" borderId="0" xfId="0"/>
    <xf numFmtId="0" fontId="1" fillId="0" borderId="0" xfId="0" applyFont="1" applyAlignment="1">
      <alignment horizontal="center" vertical="center"/>
    </xf>
    <xf numFmtId="0" fontId="3" fillId="0" borderId="0" xfId="0" applyFont="1"/>
    <xf numFmtId="0" fontId="4" fillId="0" borderId="6" xfId="0" applyFont="1" applyBorder="1" applyAlignment="1">
      <alignment horizontal="center" vertical="center"/>
    </xf>
    <xf numFmtId="0" fontId="6" fillId="0" borderId="9" xfId="0" applyFont="1" applyBorder="1" applyAlignment="1">
      <alignment horizontal="center" vertical="center" wrapText="1"/>
    </xf>
    <xf numFmtId="0" fontId="3" fillId="0" borderId="0" xfId="0" applyFont="1" applyAlignment="1">
      <alignment vertical="center"/>
    </xf>
    <xf numFmtId="0" fontId="6" fillId="0" borderId="11" xfId="0" applyFont="1" applyBorder="1" applyAlignment="1">
      <alignment horizontal="center" vertical="center" wrapText="1"/>
    </xf>
    <xf numFmtId="0" fontId="6" fillId="0" borderId="14" xfId="0" applyFont="1" applyBorder="1" applyAlignment="1">
      <alignment horizontal="center" vertical="center" wrapText="1"/>
    </xf>
    <xf numFmtId="0" fontId="7" fillId="0" borderId="15" xfId="0" applyFont="1" applyBorder="1" applyAlignment="1">
      <alignment horizontal="center" vertical="center" wrapText="1"/>
    </xf>
    <xf numFmtId="0" fontId="6" fillId="0" borderId="15" xfId="0" applyFont="1" applyBorder="1" applyAlignment="1">
      <alignment horizontal="center" vertical="center"/>
    </xf>
    <xf numFmtId="0" fontId="7" fillId="0" borderId="0" xfId="0" applyFont="1" applyAlignment="1">
      <alignment vertical="top"/>
    </xf>
    <xf numFmtId="0" fontId="6" fillId="0" borderId="11" xfId="0" applyFont="1" applyBorder="1" applyAlignment="1">
      <alignment horizontal="left" vertical="center"/>
    </xf>
    <xf numFmtId="0" fontId="6" fillId="0" borderId="14" xfId="0" applyFont="1" applyBorder="1" applyAlignment="1">
      <alignment horizontal="center" vertical="center"/>
    </xf>
    <xf numFmtId="0" fontId="7" fillId="0" borderId="14" xfId="0" applyFont="1" applyBorder="1" applyAlignment="1">
      <alignment horizontal="center" vertical="center"/>
    </xf>
    <xf numFmtId="165" fontId="7" fillId="0" borderId="15" xfId="0" applyNumberFormat="1" applyFont="1" applyBorder="1" applyAlignment="1">
      <alignment horizontal="center" vertical="center"/>
    </xf>
    <xf numFmtId="1" fontId="7" fillId="0" borderId="14" xfId="0" applyNumberFormat="1" applyFont="1" applyBorder="1" applyAlignment="1">
      <alignment horizontal="center" vertical="center"/>
    </xf>
    <xf numFmtId="2" fontId="7" fillId="0" borderId="14" xfId="0" applyNumberFormat="1" applyFont="1" applyBorder="1" applyAlignment="1">
      <alignment horizontal="center" vertical="center"/>
    </xf>
    <xf numFmtId="165" fontId="6" fillId="0" borderId="15" xfId="0" applyNumberFormat="1" applyFont="1" applyBorder="1" applyAlignment="1">
      <alignment horizontal="center" vertical="center"/>
    </xf>
    <xf numFmtId="0" fontId="7" fillId="0" borderId="15" xfId="0" applyFont="1" applyBorder="1" applyAlignment="1">
      <alignment vertical="center"/>
    </xf>
    <xf numFmtId="0" fontId="6" fillId="0" borderId="11" xfId="0" applyFont="1" applyBorder="1" applyAlignment="1">
      <alignment horizontal="right" vertical="center"/>
    </xf>
    <xf numFmtId="0" fontId="9" fillId="0" borderId="0" xfId="0" applyFont="1" applyAlignment="1">
      <alignment vertical="top"/>
    </xf>
    <xf numFmtId="0" fontId="9" fillId="0" borderId="19" xfId="0" applyFont="1" applyBorder="1" applyAlignment="1">
      <alignment horizontal="left" vertical="center"/>
    </xf>
    <xf numFmtId="0" fontId="9" fillId="0" borderId="20" xfId="0" applyFont="1" applyBorder="1" applyAlignment="1">
      <alignment horizontal="center" vertical="center"/>
    </xf>
    <xf numFmtId="0" fontId="9" fillId="0" borderId="21" xfId="0" applyFont="1" applyBorder="1" applyAlignment="1">
      <alignment vertical="center"/>
    </xf>
    <xf numFmtId="0" fontId="10" fillId="0" borderId="22" xfId="0" applyFont="1" applyBorder="1" applyAlignment="1">
      <alignment vertical="top" wrapText="1"/>
    </xf>
    <xf numFmtId="0" fontId="11" fillId="0" borderId="25" xfId="0" applyFont="1" applyBorder="1" applyAlignment="1">
      <alignment horizontal="center" vertical="center" wrapText="1"/>
    </xf>
    <xf numFmtId="14" fontId="7" fillId="0" borderId="10" xfId="0" applyNumberFormat="1" applyFont="1" applyBorder="1" applyAlignment="1">
      <alignment horizontal="center" vertical="center"/>
    </xf>
    <xf numFmtId="164" fontId="3" fillId="0" borderId="0" xfId="0" applyNumberFormat="1" applyFont="1"/>
    <xf numFmtId="0" fontId="14" fillId="0" borderId="14" xfId="0" applyFont="1" applyBorder="1" applyAlignment="1">
      <alignment horizontal="center" vertical="center"/>
    </xf>
    <xf numFmtId="1" fontId="15" fillId="0" borderId="14" xfId="0" applyNumberFormat="1" applyFont="1" applyBorder="1" applyAlignment="1">
      <alignment horizontal="center" vertical="center"/>
    </xf>
    <xf numFmtId="0" fontId="15" fillId="0" borderId="14" xfId="0" applyFont="1" applyBorder="1" applyAlignment="1">
      <alignment horizontal="center" vertical="center"/>
    </xf>
    <xf numFmtId="165" fontId="15" fillId="0" borderId="15" xfId="0" applyNumberFormat="1" applyFont="1" applyBorder="1" applyAlignment="1">
      <alignment horizontal="center" vertical="center"/>
    </xf>
    <xf numFmtId="0" fontId="15" fillId="0" borderId="11" xfId="0" applyFont="1" applyBorder="1" applyAlignment="1">
      <alignment horizontal="left" vertical="center" wrapText="1"/>
    </xf>
    <xf numFmtId="0" fontId="16" fillId="0" borderId="11" xfId="0" applyFont="1" applyBorder="1" applyAlignment="1">
      <alignment horizontal="left" vertical="center"/>
    </xf>
    <xf numFmtId="0" fontId="16" fillId="0" borderId="14" xfId="0" applyFont="1" applyBorder="1" applyAlignment="1">
      <alignment horizontal="center" vertical="center"/>
    </xf>
    <xf numFmtId="0" fontId="17" fillId="0" borderId="14" xfId="0" applyFont="1" applyBorder="1" applyAlignment="1">
      <alignment horizontal="center"/>
    </xf>
    <xf numFmtId="165" fontId="16" fillId="0" borderId="15" xfId="0" applyNumberFormat="1" applyFont="1" applyBorder="1" applyAlignment="1">
      <alignment horizontal="center" vertical="center"/>
    </xf>
    <xf numFmtId="1" fontId="16" fillId="0" borderId="14" xfId="0" applyNumberFormat="1" applyFont="1" applyBorder="1" applyAlignment="1">
      <alignment horizontal="center" vertical="center"/>
    </xf>
    <xf numFmtId="0" fontId="14" fillId="3" borderId="11" xfId="0" applyFont="1" applyFill="1" applyBorder="1" applyAlignment="1">
      <alignment horizontal="left" vertical="center"/>
    </xf>
    <xf numFmtId="0" fontId="19" fillId="0" borderId="0" xfId="0" applyFont="1"/>
    <xf numFmtId="0" fontId="18" fillId="0" borderId="0" xfId="0" applyFont="1"/>
    <xf numFmtId="166" fontId="3" fillId="0" borderId="0" xfId="1" applyNumberFormat="1" applyFont="1"/>
    <xf numFmtId="166" fontId="19" fillId="0" borderId="0" xfId="0" applyNumberFormat="1" applyFont="1"/>
    <xf numFmtId="0" fontId="7" fillId="0" borderId="11" xfId="0" applyFont="1" applyBorder="1" applyAlignment="1">
      <alignment horizontal="left" vertical="center"/>
    </xf>
    <xf numFmtId="167" fontId="3" fillId="0" borderId="0" xfId="0" applyNumberFormat="1" applyFont="1"/>
    <xf numFmtId="0" fontId="12" fillId="0" borderId="12" xfId="0" applyFont="1" applyBorder="1" applyAlignment="1">
      <alignment vertical="center" wrapText="1"/>
    </xf>
    <xf numFmtId="0" fontId="2" fillId="0" borderId="17" xfId="0" applyFont="1" applyBorder="1"/>
    <xf numFmtId="0" fontId="2" fillId="0" borderId="13" xfId="0" applyFont="1" applyBorder="1"/>
    <xf numFmtId="0" fontId="1" fillId="0" borderId="1" xfId="0" applyFont="1" applyBorder="1" applyAlignment="1">
      <alignment horizontal="center" vertical="center" wrapText="1"/>
    </xf>
    <xf numFmtId="0" fontId="2" fillId="0" borderId="2" xfId="0" applyFont="1" applyBorder="1"/>
    <xf numFmtId="0" fontId="2" fillId="0" borderId="3" xfId="0" applyFont="1" applyBorder="1"/>
    <xf numFmtId="0" fontId="2" fillId="0" borderId="4" xfId="0" applyFont="1" applyBorder="1"/>
    <xf numFmtId="0" fontId="0" fillId="0" borderId="0" xfId="0"/>
    <xf numFmtId="0" fontId="2" fillId="0" borderId="5" xfId="0" applyFont="1" applyBorder="1"/>
    <xf numFmtId="0" fontId="5" fillId="2" borderId="7" xfId="0" applyFont="1" applyFill="1" applyBorder="1" applyAlignment="1">
      <alignment horizontal="center" vertical="center"/>
    </xf>
    <xf numFmtId="0" fontId="2" fillId="0" borderId="8" xfId="0" applyFont="1" applyBorder="1"/>
    <xf numFmtId="0" fontId="4" fillId="0" borderId="12" xfId="0" applyFont="1" applyBorder="1" applyAlignment="1">
      <alignment horizontal="center" vertical="center"/>
    </xf>
    <xf numFmtId="0" fontId="6" fillId="0" borderId="12" xfId="0" applyFont="1" applyBorder="1" applyAlignment="1">
      <alignment horizontal="left" vertical="center" wrapText="1"/>
    </xf>
    <xf numFmtId="0" fontId="2" fillId="0" borderId="17" xfId="0" applyFont="1" applyBorder="1" applyAlignment="1">
      <alignment horizontal="left" wrapText="1"/>
    </xf>
    <xf numFmtId="0" fontId="2" fillId="0" borderId="18" xfId="0" applyFont="1" applyBorder="1" applyAlignment="1">
      <alignment horizontal="left" wrapText="1"/>
    </xf>
    <xf numFmtId="0" fontId="8" fillId="0" borderId="23" xfId="0" applyFont="1" applyBorder="1" applyAlignment="1">
      <alignment vertical="center" wrapText="1"/>
    </xf>
    <xf numFmtId="0" fontId="2" fillId="0" borderId="24" xfId="0" applyFont="1" applyBorder="1"/>
    <xf numFmtId="0" fontId="2" fillId="0" borderId="16" xfId="0" applyFont="1" applyBorder="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2" Type="http://schemas.openxmlformats.org/officeDocument/2006/relationships/calcChain" Target="calcChain.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5"/>
  <sheetViews>
    <sheetView tabSelected="1" workbookViewId="0">
      <selection activeCell="G7" sqref="G7"/>
    </sheetView>
  </sheetViews>
  <sheetFormatPr defaultColWidth="12.5546875" defaultRowHeight="14.4" x14ac:dyDescent="0.3"/>
  <cols>
    <col min="1" max="1" width="4.6640625" customWidth="1"/>
    <col min="2" max="2" width="45.109375" customWidth="1"/>
    <col min="3" max="3" width="10.44140625" customWidth="1"/>
    <col min="4" max="4" width="14.5546875" customWidth="1"/>
    <col min="5" max="5" width="12.88671875" customWidth="1"/>
    <col min="6" max="6" width="18.5546875" customWidth="1"/>
    <col min="7" max="7" width="20.33203125" customWidth="1"/>
    <col min="12" max="12" width="14" bestFit="1" customWidth="1"/>
  </cols>
  <sheetData>
    <row r="1" spans="1:26" ht="16.2" x14ac:dyDescent="0.3">
      <c r="A1" s="1"/>
      <c r="B1" s="48" t="s">
        <v>55</v>
      </c>
      <c r="C1" s="49"/>
      <c r="D1" s="49"/>
      <c r="E1" s="49"/>
      <c r="F1" s="50"/>
      <c r="G1" s="2"/>
      <c r="H1" s="2"/>
      <c r="I1" s="2"/>
      <c r="J1" s="2"/>
      <c r="K1" s="2"/>
      <c r="L1" s="2"/>
      <c r="M1" s="2"/>
      <c r="N1" s="2"/>
      <c r="O1" s="2"/>
      <c r="P1" s="2"/>
      <c r="Q1" s="2"/>
      <c r="R1" s="2"/>
      <c r="S1" s="2"/>
      <c r="T1" s="2"/>
      <c r="U1" s="2"/>
      <c r="V1" s="2"/>
      <c r="W1" s="2"/>
      <c r="X1" s="2"/>
      <c r="Y1" s="2"/>
      <c r="Z1" s="2"/>
    </row>
    <row r="2" spans="1:26" ht="55.2" customHeight="1" x14ac:dyDescent="0.3">
      <c r="A2" s="1"/>
      <c r="B2" s="51"/>
      <c r="C2" s="52"/>
      <c r="D2" s="52"/>
      <c r="E2" s="52"/>
      <c r="F2" s="53"/>
      <c r="G2" s="2"/>
      <c r="H2" s="2"/>
      <c r="M2" s="2"/>
      <c r="N2" s="2"/>
      <c r="O2" s="2"/>
      <c r="P2" s="2"/>
      <c r="Q2" s="2"/>
      <c r="R2" s="2"/>
      <c r="S2" s="2"/>
      <c r="T2" s="2"/>
      <c r="U2" s="2"/>
      <c r="V2" s="2"/>
      <c r="W2" s="2"/>
      <c r="X2" s="2"/>
      <c r="Y2" s="2"/>
      <c r="Z2" s="2"/>
    </row>
    <row r="3" spans="1:26" ht="16.2" x14ac:dyDescent="0.3">
      <c r="A3" s="1"/>
      <c r="B3" s="3" t="s">
        <v>0</v>
      </c>
      <c r="C3" s="54" t="s">
        <v>30</v>
      </c>
      <c r="D3" s="55"/>
      <c r="E3" s="4" t="s">
        <v>1</v>
      </c>
      <c r="F3" s="26">
        <v>45853</v>
      </c>
      <c r="G3" s="5"/>
      <c r="H3" s="5"/>
      <c r="M3" s="5"/>
      <c r="N3" s="5"/>
      <c r="O3" s="5"/>
      <c r="P3" s="5"/>
      <c r="Q3" s="5"/>
      <c r="R3" s="5"/>
      <c r="S3" s="5"/>
      <c r="T3" s="5"/>
      <c r="U3" s="5"/>
      <c r="V3" s="5"/>
      <c r="W3" s="5"/>
      <c r="X3" s="5"/>
      <c r="Y3" s="5"/>
      <c r="Z3" s="5"/>
    </row>
    <row r="4" spans="1:26" ht="16.2" x14ac:dyDescent="0.3">
      <c r="A4" s="1"/>
      <c r="B4" s="6" t="s">
        <v>2</v>
      </c>
      <c r="C4" s="56" t="s">
        <v>31</v>
      </c>
      <c r="D4" s="47"/>
      <c r="E4" s="7" t="s">
        <v>3</v>
      </c>
      <c r="F4" s="8" t="s">
        <v>4</v>
      </c>
      <c r="G4" s="2"/>
      <c r="H4" s="2"/>
      <c r="M4" s="5"/>
      <c r="N4" s="5"/>
      <c r="O4" s="5"/>
      <c r="P4" s="5"/>
      <c r="Q4" s="5"/>
      <c r="R4" s="5"/>
      <c r="S4" s="2"/>
      <c r="T4" s="2"/>
      <c r="U4" s="2"/>
      <c r="V4" s="2"/>
      <c r="W4" s="2"/>
      <c r="X4" s="2"/>
      <c r="Y4" s="2"/>
      <c r="Z4" s="2"/>
    </row>
    <row r="5" spans="1:26" ht="16.2" x14ac:dyDescent="0.3">
      <c r="A5" s="1"/>
      <c r="B5" s="6" t="s">
        <v>5</v>
      </c>
      <c r="C5" s="7" t="s">
        <v>6</v>
      </c>
      <c r="D5" s="7" t="s">
        <v>7</v>
      </c>
      <c r="E5" s="7" t="s">
        <v>8</v>
      </c>
      <c r="F5" s="9" t="s">
        <v>9</v>
      </c>
      <c r="G5" s="2"/>
      <c r="H5" s="2"/>
      <c r="M5" s="5"/>
      <c r="N5" s="5"/>
      <c r="O5" s="5"/>
      <c r="P5" s="5"/>
      <c r="Q5" s="5"/>
      <c r="R5" s="5"/>
      <c r="S5" s="2"/>
      <c r="T5" s="2"/>
      <c r="U5" s="2"/>
      <c r="V5" s="2"/>
      <c r="W5" s="2"/>
      <c r="X5" s="2"/>
      <c r="Y5" s="2"/>
      <c r="Z5" s="2"/>
    </row>
    <row r="6" spans="1:26" x14ac:dyDescent="0.3">
      <c r="A6" s="10"/>
      <c r="B6" s="33" t="s">
        <v>10</v>
      </c>
      <c r="C6" s="34" t="s">
        <v>11</v>
      </c>
      <c r="D6" s="35">
        <v>1958</v>
      </c>
      <c r="E6" s="34">
        <v>1625</v>
      </c>
      <c r="F6" s="36">
        <f>E6*D6</f>
        <v>3181750</v>
      </c>
      <c r="G6" s="2"/>
      <c r="H6" s="35">
        <v>1944</v>
      </c>
      <c r="M6" s="5"/>
      <c r="N6" s="5"/>
      <c r="O6" s="5"/>
      <c r="P6" s="5"/>
      <c r="Q6" s="5"/>
      <c r="R6" s="5"/>
      <c r="S6" s="2"/>
      <c r="T6" s="2"/>
      <c r="U6" s="2"/>
      <c r="V6" s="2"/>
      <c r="W6" s="2"/>
      <c r="X6" s="2"/>
      <c r="Y6" s="2"/>
      <c r="Z6" s="2"/>
    </row>
    <row r="7" spans="1:26" x14ac:dyDescent="0.3">
      <c r="A7" s="10"/>
      <c r="B7" s="33" t="s">
        <v>12</v>
      </c>
      <c r="C7" s="34" t="s">
        <v>11</v>
      </c>
      <c r="D7" s="35">
        <v>319</v>
      </c>
      <c r="E7" s="34">
        <v>2060</v>
      </c>
      <c r="F7" s="36">
        <f t="shared" ref="F7:F11" si="0">E7*D7</f>
        <v>657140</v>
      </c>
      <c r="G7" s="2"/>
      <c r="H7" s="35">
        <v>312</v>
      </c>
      <c r="M7" s="5"/>
      <c r="N7" s="5"/>
      <c r="O7" s="5"/>
      <c r="P7" s="5"/>
      <c r="Q7" s="5"/>
      <c r="R7" s="5"/>
      <c r="S7" s="2"/>
      <c r="T7" s="2"/>
      <c r="U7" s="2"/>
      <c r="V7" s="2"/>
      <c r="W7" s="2"/>
      <c r="X7" s="2"/>
      <c r="Y7" s="2"/>
      <c r="Z7" s="2"/>
    </row>
    <row r="8" spans="1:26" x14ac:dyDescent="0.3">
      <c r="A8" s="10"/>
      <c r="B8" s="33" t="s">
        <v>13</v>
      </c>
      <c r="C8" s="34" t="s">
        <v>11</v>
      </c>
      <c r="D8" s="35">
        <v>2270</v>
      </c>
      <c r="E8" s="34">
        <v>2060</v>
      </c>
      <c r="F8" s="36">
        <f t="shared" si="0"/>
        <v>4676200</v>
      </c>
      <c r="G8" s="2"/>
      <c r="H8" s="35">
        <v>2263</v>
      </c>
      <c r="M8" s="5"/>
      <c r="N8" s="5"/>
      <c r="O8" s="5"/>
      <c r="P8" s="5"/>
      <c r="Q8" s="5"/>
      <c r="R8" s="5"/>
      <c r="S8" s="2"/>
      <c r="T8" s="2"/>
      <c r="U8" s="2"/>
      <c r="V8" s="2"/>
      <c r="W8" s="2"/>
      <c r="X8" s="2"/>
      <c r="Y8" s="2"/>
      <c r="Z8" s="2"/>
    </row>
    <row r="9" spans="1:26" x14ac:dyDescent="0.3">
      <c r="A9" s="10"/>
      <c r="B9" s="33" t="s">
        <v>14</v>
      </c>
      <c r="C9" s="34" t="s">
        <v>11</v>
      </c>
      <c r="D9" s="37">
        <v>235</v>
      </c>
      <c r="E9" s="34">
        <v>2060</v>
      </c>
      <c r="F9" s="36">
        <f t="shared" si="0"/>
        <v>484100</v>
      </c>
      <c r="G9" s="2"/>
      <c r="H9" s="37">
        <v>240</v>
      </c>
      <c r="M9" s="5"/>
      <c r="N9" s="5"/>
      <c r="O9" s="5"/>
      <c r="P9" s="5"/>
      <c r="Q9" s="5"/>
      <c r="R9" s="5"/>
      <c r="S9" s="2"/>
      <c r="T9" s="2"/>
      <c r="U9" s="2"/>
      <c r="V9" s="2"/>
      <c r="W9" s="2"/>
      <c r="X9" s="2"/>
      <c r="Y9" s="2"/>
      <c r="Z9" s="2"/>
    </row>
    <row r="10" spans="1:26" x14ac:dyDescent="0.3">
      <c r="A10" s="10"/>
      <c r="B10" s="43" t="s">
        <v>46</v>
      </c>
      <c r="C10" s="34" t="s">
        <v>15</v>
      </c>
      <c r="D10" s="37">
        <v>4000</v>
      </c>
      <c r="E10" s="34">
        <v>20</v>
      </c>
      <c r="F10" s="36">
        <f t="shared" si="0"/>
        <v>80000</v>
      </c>
      <c r="G10" s="2"/>
      <c r="H10" s="2"/>
      <c r="M10" s="5"/>
      <c r="N10" s="5"/>
      <c r="O10" s="5"/>
      <c r="P10" s="5"/>
      <c r="Q10" s="5"/>
      <c r="R10" s="5"/>
      <c r="S10" s="2"/>
      <c r="T10" s="2"/>
      <c r="U10" s="2"/>
      <c r="V10" s="2"/>
      <c r="W10" s="2"/>
      <c r="X10" s="2"/>
      <c r="Y10" s="2"/>
      <c r="Z10" s="2"/>
    </row>
    <row r="11" spans="1:26" x14ac:dyDescent="0.3">
      <c r="A11" s="10"/>
      <c r="B11" s="43" t="s">
        <v>32</v>
      </c>
      <c r="C11" s="34" t="s">
        <v>15</v>
      </c>
      <c r="D11" s="37">
        <v>10000</v>
      </c>
      <c r="E11" s="34">
        <v>25</v>
      </c>
      <c r="F11" s="36">
        <f t="shared" si="0"/>
        <v>250000</v>
      </c>
      <c r="G11" s="2"/>
      <c r="H11" s="2"/>
      <c r="M11" s="5"/>
      <c r="N11" s="5"/>
      <c r="O11" s="5"/>
      <c r="P11" s="5"/>
      <c r="Q11" s="5"/>
      <c r="R11" s="5"/>
      <c r="S11" s="2"/>
      <c r="T11" s="2"/>
      <c r="U11" s="2"/>
      <c r="V11" s="2"/>
      <c r="W11" s="2"/>
      <c r="X11" s="2"/>
      <c r="Y11" s="2"/>
      <c r="Z11" s="2"/>
    </row>
    <row r="12" spans="1:26" x14ac:dyDescent="0.3">
      <c r="A12" s="10"/>
      <c r="B12" s="11"/>
      <c r="C12" s="12"/>
      <c r="D12" s="15"/>
      <c r="E12" s="13"/>
      <c r="F12" s="14"/>
      <c r="G12" s="2"/>
      <c r="H12" s="2"/>
      <c r="M12" s="5"/>
      <c r="N12" s="5"/>
      <c r="O12" s="5"/>
      <c r="P12" s="5"/>
      <c r="Q12" s="5"/>
      <c r="R12" s="5"/>
      <c r="S12" s="2"/>
      <c r="T12" s="2"/>
      <c r="U12" s="2"/>
      <c r="V12" s="2"/>
      <c r="W12" s="2"/>
      <c r="X12" s="2"/>
      <c r="Y12" s="2"/>
      <c r="Z12" s="2"/>
    </row>
    <row r="13" spans="1:26" x14ac:dyDescent="0.3">
      <c r="A13" s="10"/>
      <c r="B13" s="38" t="s">
        <v>16</v>
      </c>
      <c r="C13" s="28"/>
      <c r="D13" s="29"/>
      <c r="E13" s="30"/>
      <c r="F13" s="31"/>
      <c r="G13" s="2"/>
      <c r="H13" s="2"/>
      <c r="M13" s="5"/>
      <c r="N13" s="5"/>
      <c r="O13" s="5"/>
      <c r="P13" s="5"/>
      <c r="Q13" s="5"/>
      <c r="R13" s="5"/>
      <c r="S13" s="2"/>
      <c r="T13" s="2"/>
      <c r="U13" s="2"/>
      <c r="V13" s="2"/>
      <c r="W13" s="2"/>
      <c r="X13" s="2"/>
      <c r="Y13" s="2"/>
      <c r="Z13" s="2"/>
    </row>
    <row r="14" spans="1:26" ht="28.8" x14ac:dyDescent="0.3">
      <c r="A14" s="10"/>
      <c r="B14" s="32" t="s">
        <v>52</v>
      </c>
      <c r="C14" s="12" t="s">
        <v>40</v>
      </c>
      <c r="D14" s="29" t="e">
        <f>#REF!</f>
        <v>#REF!</v>
      </c>
      <c r="E14" s="30">
        <v>92</v>
      </c>
      <c r="F14" s="31" t="e">
        <f t="shared" ref="F14:F29" si="1">E14*D14</f>
        <v>#REF!</v>
      </c>
      <c r="G14" s="2"/>
      <c r="H14" s="2"/>
      <c r="M14" s="5"/>
      <c r="N14" s="5"/>
      <c r="O14" s="5"/>
      <c r="P14" s="5"/>
      <c r="Q14" s="5"/>
      <c r="R14" s="5"/>
      <c r="S14" s="2"/>
      <c r="T14" s="2"/>
      <c r="U14" s="2"/>
      <c r="V14" s="2"/>
      <c r="W14" s="2"/>
      <c r="X14" s="2"/>
      <c r="Y14" s="2"/>
      <c r="Z14" s="2"/>
    </row>
    <row r="15" spans="1:26" x14ac:dyDescent="0.3">
      <c r="A15" s="10"/>
      <c r="B15" s="32" t="s">
        <v>51</v>
      </c>
      <c r="C15" s="12" t="s">
        <v>11</v>
      </c>
      <c r="D15" s="29">
        <f>D6+D7</f>
        <v>2277</v>
      </c>
      <c r="E15" s="30">
        <f>70*1.5</f>
        <v>105</v>
      </c>
      <c r="F15" s="31">
        <f t="shared" si="1"/>
        <v>239085</v>
      </c>
      <c r="G15" s="2"/>
      <c r="H15" s="44"/>
      <c r="M15" s="5"/>
      <c r="N15" s="5"/>
      <c r="O15" s="5"/>
      <c r="P15" s="5"/>
      <c r="Q15" s="5"/>
      <c r="R15" s="5"/>
      <c r="S15" s="2"/>
      <c r="T15" s="2"/>
      <c r="U15" s="2"/>
      <c r="V15" s="2"/>
      <c r="W15" s="2"/>
      <c r="X15" s="2"/>
      <c r="Y15" s="2"/>
      <c r="Z15" s="2"/>
    </row>
    <row r="16" spans="1:26" x14ac:dyDescent="0.3">
      <c r="A16" s="10"/>
      <c r="B16" s="32" t="s">
        <v>41</v>
      </c>
      <c r="C16" s="12" t="s">
        <v>11</v>
      </c>
      <c r="D16" s="29" t="e">
        <f>#REF!</f>
        <v>#REF!</v>
      </c>
      <c r="E16" s="30">
        <v>500</v>
      </c>
      <c r="F16" s="31" t="e">
        <f t="shared" si="1"/>
        <v>#REF!</v>
      </c>
      <c r="G16" s="2"/>
      <c r="H16" s="2"/>
      <c r="M16" s="5"/>
      <c r="N16" s="5"/>
      <c r="O16" s="5"/>
      <c r="P16" s="5"/>
      <c r="Q16" s="5"/>
      <c r="R16" s="5"/>
      <c r="S16" s="2"/>
      <c r="T16" s="2"/>
      <c r="U16" s="2"/>
      <c r="V16" s="2"/>
      <c r="W16" s="2"/>
      <c r="X16" s="2"/>
      <c r="Y16" s="2"/>
      <c r="Z16" s="2"/>
    </row>
    <row r="17" spans="1:26" ht="28.8" x14ac:dyDescent="0.3">
      <c r="A17" s="10"/>
      <c r="B17" s="32" t="s">
        <v>42</v>
      </c>
      <c r="C17" s="12" t="s">
        <v>11</v>
      </c>
      <c r="D17" s="29" t="e">
        <f>D16</f>
        <v>#REF!</v>
      </c>
      <c r="E17" s="30">
        <v>185</v>
      </c>
      <c r="F17" s="31" t="e">
        <f t="shared" si="1"/>
        <v>#REF!</v>
      </c>
      <c r="G17" s="2"/>
      <c r="H17" s="2"/>
      <c r="M17" s="5"/>
      <c r="N17" s="5"/>
      <c r="O17" s="5"/>
      <c r="P17" s="5"/>
      <c r="Q17" s="5"/>
      <c r="R17" s="5"/>
      <c r="S17" s="2"/>
      <c r="T17" s="2"/>
      <c r="U17" s="2"/>
      <c r="V17" s="2"/>
      <c r="W17" s="2"/>
      <c r="X17" s="2"/>
      <c r="Y17" s="2"/>
      <c r="Z17" s="2"/>
    </row>
    <row r="18" spans="1:26" x14ac:dyDescent="0.3">
      <c r="A18" s="10"/>
      <c r="B18" s="32" t="s">
        <v>43</v>
      </c>
      <c r="C18" s="12" t="s">
        <v>18</v>
      </c>
      <c r="D18" s="29" t="e">
        <f>#REF!</f>
        <v>#REF!</v>
      </c>
      <c r="E18" s="30">
        <v>35000</v>
      </c>
      <c r="F18" s="31" t="e">
        <f t="shared" si="1"/>
        <v>#REF!</v>
      </c>
      <c r="G18" s="2"/>
      <c r="H18" s="2"/>
      <c r="M18" s="5"/>
      <c r="N18" s="5"/>
      <c r="O18" s="5"/>
      <c r="P18" s="5"/>
      <c r="Q18" s="5"/>
      <c r="R18" s="5"/>
      <c r="S18" s="2"/>
      <c r="T18" s="2"/>
      <c r="U18" s="2"/>
      <c r="V18" s="2"/>
      <c r="W18" s="2"/>
      <c r="X18" s="2"/>
      <c r="Y18" s="2"/>
      <c r="Z18" s="2"/>
    </row>
    <row r="19" spans="1:26" x14ac:dyDescent="0.3">
      <c r="A19" s="10"/>
      <c r="B19" s="32" t="s">
        <v>44</v>
      </c>
      <c r="C19" s="12" t="s">
        <v>18</v>
      </c>
      <c r="D19" s="29" t="e">
        <f>#REF!</f>
        <v>#REF!</v>
      </c>
      <c r="E19" s="30">
        <v>12000</v>
      </c>
      <c r="F19" s="31" t="e">
        <f t="shared" si="1"/>
        <v>#REF!</v>
      </c>
      <c r="G19" s="2"/>
      <c r="H19" s="2"/>
      <c r="M19" s="5"/>
      <c r="N19" s="5"/>
      <c r="O19" s="5"/>
      <c r="P19" s="5"/>
      <c r="Q19" s="5"/>
      <c r="R19" s="5"/>
      <c r="S19" s="2"/>
      <c r="T19" s="2"/>
      <c r="U19" s="2"/>
      <c r="V19" s="2"/>
      <c r="W19" s="2"/>
      <c r="X19" s="2"/>
      <c r="Y19" s="2"/>
      <c r="Z19" s="2"/>
    </row>
    <row r="20" spans="1:26" x14ac:dyDescent="0.3">
      <c r="A20" s="10"/>
      <c r="B20" s="32" t="s">
        <v>45</v>
      </c>
      <c r="C20" s="12" t="s">
        <v>18</v>
      </c>
      <c r="D20" s="29" t="e">
        <f>#REF!</f>
        <v>#REF!</v>
      </c>
      <c r="E20" s="30">
        <f>10500+20000</f>
        <v>30500</v>
      </c>
      <c r="F20" s="31" t="e">
        <f t="shared" si="1"/>
        <v>#REF!</v>
      </c>
      <c r="G20" s="2"/>
      <c r="H20" s="2"/>
      <c r="M20" s="5"/>
      <c r="N20" s="5"/>
      <c r="O20" s="5"/>
      <c r="P20" s="5"/>
      <c r="Q20" s="5"/>
      <c r="R20" s="5"/>
      <c r="S20" s="2"/>
      <c r="T20" s="2"/>
      <c r="U20" s="2"/>
      <c r="V20" s="2"/>
      <c r="W20" s="2"/>
      <c r="X20" s="2"/>
      <c r="Y20" s="2"/>
      <c r="Z20" s="2"/>
    </row>
    <row r="21" spans="1:26" x14ac:dyDescent="0.3">
      <c r="A21" s="10"/>
      <c r="B21" s="32" t="s">
        <v>47</v>
      </c>
      <c r="C21" s="12" t="s">
        <v>11</v>
      </c>
      <c r="D21" s="29">
        <f>D6</f>
        <v>1958</v>
      </c>
      <c r="E21" s="30">
        <v>75</v>
      </c>
      <c r="F21" s="31">
        <f t="shared" si="1"/>
        <v>146850</v>
      </c>
      <c r="G21" s="2"/>
      <c r="H21" s="2"/>
      <c r="M21" s="5"/>
      <c r="N21" s="5"/>
      <c r="O21" s="5"/>
      <c r="P21" s="5"/>
      <c r="Q21" s="5"/>
      <c r="R21" s="5"/>
      <c r="S21" s="2"/>
      <c r="T21" s="2"/>
      <c r="U21" s="2"/>
      <c r="V21" s="2"/>
      <c r="W21" s="2"/>
      <c r="X21" s="2"/>
      <c r="Y21" s="2"/>
      <c r="Z21" s="2"/>
    </row>
    <row r="22" spans="1:26" x14ac:dyDescent="0.3">
      <c r="A22" s="10"/>
      <c r="B22" s="32" t="s">
        <v>49</v>
      </c>
      <c r="C22" s="12" t="s">
        <v>11</v>
      </c>
      <c r="D22" s="29">
        <v>3</v>
      </c>
      <c r="E22" s="30">
        <v>12000</v>
      </c>
      <c r="F22" s="31">
        <f t="shared" si="1"/>
        <v>36000</v>
      </c>
      <c r="G22" s="2"/>
      <c r="H22" s="2"/>
      <c r="M22" s="5"/>
      <c r="N22" s="5"/>
      <c r="O22" s="5"/>
      <c r="P22" s="5"/>
      <c r="Q22" s="5"/>
      <c r="R22" s="5"/>
      <c r="S22" s="2"/>
      <c r="T22" s="2"/>
      <c r="U22" s="2"/>
      <c r="V22" s="2"/>
      <c r="W22" s="2"/>
      <c r="X22" s="2"/>
      <c r="Y22" s="2"/>
      <c r="Z22" s="2"/>
    </row>
    <row r="23" spans="1:26" x14ac:dyDescent="0.3">
      <c r="A23" s="10"/>
      <c r="B23" s="32" t="s">
        <v>48</v>
      </c>
      <c r="C23" s="12" t="s">
        <v>11</v>
      </c>
      <c r="D23" s="29">
        <v>1</v>
      </c>
      <c r="E23" s="30">
        <v>12000</v>
      </c>
      <c r="F23" s="31">
        <f t="shared" si="1"/>
        <v>12000</v>
      </c>
      <c r="G23" s="2"/>
      <c r="H23" s="2"/>
      <c r="M23" s="5"/>
      <c r="N23" s="5"/>
      <c r="O23" s="5"/>
      <c r="P23" s="5"/>
      <c r="Q23" s="5"/>
      <c r="R23" s="5"/>
      <c r="S23" s="2"/>
      <c r="T23" s="2"/>
      <c r="U23" s="2"/>
      <c r="V23" s="2"/>
      <c r="W23" s="2"/>
      <c r="X23" s="2"/>
      <c r="Y23" s="2"/>
      <c r="Z23" s="2"/>
    </row>
    <row r="24" spans="1:26" x14ac:dyDescent="0.3">
      <c r="A24" s="10"/>
      <c r="B24" s="32" t="s">
        <v>37</v>
      </c>
      <c r="C24" s="30" t="s">
        <v>11</v>
      </c>
      <c r="D24" s="29">
        <f>D6+D7</f>
        <v>2277</v>
      </c>
      <c r="E24" s="30">
        <v>185</v>
      </c>
      <c r="F24" s="31">
        <f t="shared" si="1"/>
        <v>421245</v>
      </c>
      <c r="G24" s="2"/>
      <c r="H24" s="2"/>
      <c r="M24" s="5"/>
      <c r="N24" s="5"/>
      <c r="O24" s="5"/>
      <c r="P24" s="5"/>
      <c r="Q24" s="5"/>
      <c r="R24" s="5"/>
      <c r="S24" s="2"/>
      <c r="T24" s="2"/>
      <c r="U24" s="2"/>
      <c r="V24" s="2"/>
      <c r="W24" s="2"/>
      <c r="X24" s="2"/>
      <c r="Y24" s="2"/>
      <c r="Z24" s="2"/>
    </row>
    <row r="25" spans="1:26" x14ac:dyDescent="0.3">
      <c r="A25" s="10"/>
      <c r="B25" s="32" t="s">
        <v>50</v>
      </c>
      <c r="C25" s="12" t="s">
        <v>18</v>
      </c>
      <c r="D25" s="29">
        <v>1</v>
      </c>
      <c r="E25" s="30" t="e">
        <f>#REF!</f>
        <v>#REF!</v>
      </c>
      <c r="F25" s="31" t="e">
        <f t="shared" si="1"/>
        <v>#REF!</v>
      </c>
      <c r="G25" s="2"/>
      <c r="H25" s="2"/>
      <c r="M25" s="5"/>
      <c r="N25" s="5"/>
      <c r="O25" s="5"/>
      <c r="P25" s="5"/>
      <c r="Q25" s="5"/>
      <c r="R25" s="5"/>
      <c r="S25" s="2"/>
      <c r="T25" s="2"/>
      <c r="U25" s="2"/>
      <c r="V25" s="2"/>
      <c r="W25" s="2"/>
      <c r="X25" s="2"/>
      <c r="Y25" s="2"/>
      <c r="Z25" s="2"/>
    </row>
    <row r="26" spans="1:26" x14ac:dyDescent="0.3">
      <c r="A26" s="10"/>
      <c r="B26" s="32" t="s">
        <v>34</v>
      </c>
      <c r="C26" s="30" t="s">
        <v>17</v>
      </c>
      <c r="D26" s="29">
        <f>D7+D8+D9</f>
        <v>2824</v>
      </c>
      <c r="E26" s="30">
        <v>40</v>
      </c>
      <c r="F26" s="31">
        <f t="shared" si="1"/>
        <v>112960</v>
      </c>
      <c r="G26" s="2"/>
      <c r="H26" s="2"/>
      <c r="M26" s="5"/>
      <c r="N26" s="5"/>
      <c r="O26" s="5"/>
      <c r="P26" s="5"/>
      <c r="Q26" s="5"/>
      <c r="R26" s="5"/>
      <c r="S26" s="2"/>
      <c r="T26" s="2"/>
      <c r="U26" s="2"/>
      <c r="V26" s="2"/>
      <c r="W26" s="2"/>
      <c r="X26" s="2"/>
      <c r="Y26" s="2"/>
      <c r="Z26" s="2"/>
    </row>
    <row r="27" spans="1:26" x14ac:dyDescent="0.3">
      <c r="A27" s="10"/>
      <c r="B27" s="32" t="s">
        <v>36</v>
      </c>
      <c r="C27" s="30" t="s">
        <v>18</v>
      </c>
      <c r="D27" s="29">
        <v>2</v>
      </c>
      <c r="E27" s="30">
        <v>26500</v>
      </c>
      <c r="F27" s="31">
        <f t="shared" si="1"/>
        <v>53000</v>
      </c>
      <c r="G27" s="2"/>
      <c r="H27" s="2"/>
      <c r="M27" s="5"/>
      <c r="N27" s="5"/>
      <c r="O27" s="5"/>
      <c r="P27" s="5"/>
      <c r="Q27" s="5"/>
      <c r="R27" s="5"/>
      <c r="S27" s="2"/>
      <c r="T27" s="2"/>
      <c r="U27" s="2"/>
      <c r="V27" s="2"/>
      <c r="W27" s="2"/>
      <c r="X27" s="2"/>
      <c r="Y27" s="2"/>
      <c r="Z27" s="2"/>
    </row>
    <row r="28" spans="1:26" ht="28.8" x14ac:dyDescent="0.3">
      <c r="A28" s="10"/>
      <c r="B28" s="32" t="s">
        <v>53</v>
      </c>
      <c r="C28" s="30" t="s">
        <v>11</v>
      </c>
      <c r="D28" s="29">
        <f>(D6+D7)*2.25</f>
        <v>5123.25</v>
      </c>
      <c r="E28" s="30">
        <v>25</v>
      </c>
      <c r="F28" s="31">
        <f t="shared" si="1"/>
        <v>128081.25</v>
      </c>
      <c r="G28" s="2"/>
      <c r="H28" s="2"/>
      <c r="M28" s="5"/>
      <c r="N28" s="5"/>
      <c r="O28" s="5"/>
      <c r="P28" s="5"/>
      <c r="Q28" s="5"/>
      <c r="R28" s="5"/>
      <c r="S28" s="2"/>
      <c r="T28" s="2"/>
      <c r="U28" s="2"/>
      <c r="V28" s="2"/>
      <c r="W28" s="2"/>
      <c r="X28" s="2"/>
      <c r="Y28" s="2"/>
      <c r="Z28" s="2"/>
    </row>
    <row r="29" spans="1:26" x14ac:dyDescent="0.3">
      <c r="A29" s="10"/>
      <c r="B29" s="32" t="s">
        <v>38</v>
      </c>
      <c r="C29" s="12" t="s">
        <v>18</v>
      </c>
      <c r="D29" s="29">
        <v>1</v>
      </c>
      <c r="E29" s="30">
        <v>28000</v>
      </c>
      <c r="F29" s="31">
        <f t="shared" si="1"/>
        <v>28000</v>
      </c>
      <c r="G29" s="2"/>
      <c r="H29" s="2"/>
      <c r="M29" s="5"/>
      <c r="N29" s="5"/>
      <c r="O29" s="5"/>
      <c r="P29" s="5"/>
      <c r="Q29" s="5"/>
      <c r="R29" s="5"/>
      <c r="S29" s="2"/>
      <c r="T29" s="2"/>
      <c r="U29" s="2"/>
      <c r="V29" s="2"/>
      <c r="W29" s="2"/>
      <c r="X29" s="2"/>
      <c r="Y29" s="2"/>
      <c r="Z29" s="2"/>
    </row>
    <row r="30" spans="1:26" ht="28.8" x14ac:dyDescent="0.3">
      <c r="A30" s="10"/>
      <c r="B30" s="32" t="s">
        <v>33</v>
      </c>
      <c r="C30" s="30" t="s">
        <v>17</v>
      </c>
      <c r="D30" s="29">
        <f>78+78+31+31</f>
        <v>218</v>
      </c>
      <c r="E30" s="29">
        <v>2250</v>
      </c>
      <c r="F30" s="31"/>
      <c r="G30" s="5" t="s">
        <v>35</v>
      </c>
      <c r="H30" s="2"/>
      <c r="M30" s="5"/>
      <c r="N30" s="5"/>
      <c r="O30" s="5"/>
      <c r="P30" s="5"/>
      <c r="Q30" s="5"/>
      <c r="R30" s="5"/>
      <c r="S30" s="2"/>
      <c r="T30" s="2"/>
      <c r="U30" s="2"/>
      <c r="V30" s="2"/>
      <c r="W30" s="2"/>
      <c r="X30" s="2"/>
      <c r="Y30" s="2"/>
      <c r="Z30" s="2"/>
    </row>
    <row r="31" spans="1:26" x14ac:dyDescent="0.3">
      <c r="A31" s="10"/>
      <c r="B31" s="32"/>
      <c r="C31" s="12"/>
      <c r="D31" s="29"/>
      <c r="E31" s="30"/>
      <c r="F31" s="31"/>
      <c r="G31" s="2"/>
      <c r="H31" s="2"/>
      <c r="M31" s="5"/>
      <c r="N31" s="5"/>
      <c r="O31" s="5"/>
      <c r="P31" s="5"/>
      <c r="Q31" s="5"/>
      <c r="R31" s="5"/>
      <c r="S31" s="2"/>
      <c r="T31" s="2"/>
      <c r="U31" s="2"/>
      <c r="V31" s="2"/>
      <c r="W31" s="2"/>
      <c r="X31" s="2"/>
      <c r="Y31" s="2"/>
      <c r="Z31" s="2"/>
    </row>
    <row r="32" spans="1:26" x14ac:dyDescent="0.3">
      <c r="A32" s="10"/>
      <c r="B32" s="11"/>
      <c r="C32" s="12"/>
      <c r="D32" s="16"/>
      <c r="E32" s="13"/>
      <c r="F32" s="31"/>
      <c r="G32" s="2"/>
      <c r="H32" s="2"/>
      <c r="M32" s="5"/>
      <c r="N32" s="5"/>
      <c r="O32" s="5"/>
      <c r="P32" s="5"/>
      <c r="Q32" s="5"/>
      <c r="R32" s="5"/>
      <c r="S32" s="2"/>
      <c r="T32" s="2"/>
      <c r="U32" s="2"/>
      <c r="V32" s="2"/>
      <c r="W32" s="2"/>
      <c r="X32" s="2"/>
      <c r="Y32" s="2"/>
      <c r="Z32" s="2"/>
    </row>
    <row r="33" spans="1:26" x14ac:dyDescent="0.3">
      <c r="A33" s="10"/>
      <c r="B33" s="11"/>
      <c r="C33" s="12"/>
      <c r="D33" s="16"/>
      <c r="E33" s="12" t="s">
        <v>19</v>
      </c>
      <c r="F33" s="17" t="e">
        <f>SUM(F6:F32)</f>
        <v>#REF!</v>
      </c>
      <c r="G33" s="2"/>
      <c r="H33" s="2"/>
      <c r="M33" s="5"/>
      <c r="N33" s="5"/>
      <c r="O33" s="5"/>
      <c r="P33" s="5"/>
      <c r="Q33" s="5"/>
      <c r="R33" s="5"/>
      <c r="S33" s="2"/>
      <c r="T33" s="2"/>
      <c r="U33" s="2"/>
      <c r="V33" s="2"/>
      <c r="W33" s="2"/>
      <c r="X33" s="2"/>
      <c r="Y33" s="2"/>
      <c r="Z33" s="2"/>
    </row>
    <row r="34" spans="1:26" x14ac:dyDescent="0.3">
      <c r="A34" s="10"/>
      <c r="B34" s="11"/>
      <c r="C34" s="12"/>
      <c r="D34" s="13"/>
      <c r="E34" s="12" t="s">
        <v>20</v>
      </c>
      <c r="F34" s="17" t="e">
        <f t="shared" ref="F34" si="2">F33*18%</f>
        <v>#REF!</v>
      </c>
      <c r="G34" s="2"/>
      <c r="H34" s="2"/>
      <c r="M34" s="5"/>
      <c r="N34" s="5"/>
      <c r="O34" s="5"/>
      <c r="P34" s="5"/>
      <c r="Q34" s="5"/>
      <c r="R34" s="5"/>
      <c r="S34" s="2"/>
      <c r="T34" s="2"/>
      <c r="U34" s="2"/>
      <c r="V34" s="2"/>
      <c r="W34" s="2"/>
      <c r="X34" s="2"/>
      <c r="Y34" s="2"/>
      <c r="Z34" s="2"/>
    </row>
    <row r="35" spans="1:26" x14ac:dyDescent="0.3">
      <c r="A35" s="10"/>
      <c r="B35" s="11" t="s">
        <v>54</v>
      </c>
      <c r="C35" s="12"/>
      <c r="D35" s="13"/>
      <c r="E35" s="12"/>
      <c r="F35" s="17" t="e">
        <f>(F33*2%)*1.18</f>
        <v>#REF!</v>
      </c>
      <c r="G35" s="2"/>
      <c r="H35" s="2"/>
      <c r="M35" s="5"/>
      <c r="N35" s="5"/>
      <c r="O35" s="5"/>
      <c r="P35" s="5"/>
      <c r="Q35" s="5"/>
      <c r="R35" s="5"/>
      <c r="S35" s="2"/>
      <c r="T35" s="2"/>
      <c r="U35" s="2"/>
      <c r="V35" s="2"/>
      <c r="W35" s="2"/>
      <c r="X35" s="2"/>
      <c r="Y35" s="2"/>
      <c r="Z35" s="2"/>
    </row>
    <row r="36" spans="1:26" x14ac:dyDescent="0.3">
      <c r="A36" s="10"/>
      <c r="B36" s="11"/>
      <c r="C36" s="12"/>
      <c r="D36" s="12"/>
      <c r="E36" s="12" t="s">
        <v>21</v>
      </c>
      <c r="F36" s="17" t="e">
        <f t="shared" ref="F36" si="3">SUM(F33:F35)</f>
        <v>#REF!</v>
      </c>
      <c r="G36" s="2"/>
      <c r="H36" s="2"/>
      <c r="M36" s="5"/>
      <c r="N36" s="5"/>
      <c r="O36" s="5"/>
      <c r="P36" s="5"/>
      <c r="Q36" s="5"/>
      <c r="R36" s="5"/>
      <c r="S36" s="2"/>
      <c r="T36" s="2"/>
      <c r="U36" s="2"/>
      <c r="V36" s="2"/>
      <c r="W36" s="2"/>
      <c r="X36" s="2"/>
      <c r="Y36" s="2"/>
      <c r="Z36" s="2"/>
    </row>
    <row r="37" spans="1:26" x14ac:dyDescent="0.3">
      <c r="A37" s="10"/>
      <c r="B37" s="11"/>
      <c r="C37" s="12"/>
      <c r="D37" s="12"/>
      <c r="E37" s="13"/>
      <c r="F37" s="18"/>
      <c r="G37" s="2"/>
      <c r="H37" s="2"/>
      <c r="M37" s="5"/>
      <c r="N37" s="5"/>
      <c r="O37" s="5"/>
      <c r="P37" s="5"/>
      <c r="Q37" s="5"/>
      <c r="R37" s="5"/>
      <c r="S37" s="2"/>
      <c r="T37" s="2"/>
      <c r="U37" s="2"/>
      <c r="V37" s="2"/>
      <c r="W37" s="2"/>
      <c r="X37" s="2"/>
      <c r="Y37" s="2"/>
      <c r="Z37" s="2"/>
    </row>
    <row r="38" spans="1:26" ht="28.2" customHeight="1" x14ac:dyDescent="0.3">
      <c r="A38" s="10"/>
      <c r="B38" s="19" t="s">
        <v>22</v>
      </c>
      <c r="C38" s="57" t="s">
        <v>39</v>
      </c>
      <c r="D38" s="58"/>
      <c r="E38" s="58"/>
      <c r="F38" s="59"/>
      <c r="G38" s="2"/>
      <c r="H38" s="2"/>
      <c r="M38" s="5"/>
      <c r="N38" s="5"/>
      <c r="O38" s="5"/>
      <c r="P38" s="5"/>
      <c r="Q38" s="5"/>
      <c r="R38" s="5"/>
      <c r="S38" s="2"/>
      <c r="T38" s="2"/>
      <c r="U38" s="2"/>
      <c r="V38" s="2"/>
      <c r="W38" s="2"/>
      <c r="X38" s="2"/>
      <c r="Y38" s="2"/>
      <c r="Z38" s="2"/>
    </row>
    <row r="39" spans="1:26" ht="16.2" x14ac:dyDescent="0.3">
      <c r="A39" s="20"/>
      <c r="B39" s="21"/>
      <c r="C39" s="22"/>
      <c r="D39" s="22"/>
      <c r="E39" s="22"/>
      <c r="F39" s="23"/>
      <c r="G39" s="2"/>
      <c r="H39" s="2"/>
      <c r="M39" s="5"/>
      <c r="N39" s="5"/>
      <c r="O39" s="5"/>
      <c r="P39" s="5"/>
      <c r="Q39" s="5"/>
      <c r="R39" s="5"/>
      <c r="S39" s="2"/>
      <c r="T39" s="2"/>
      <c r="U39" s="2"/>
      <c r="V39" s="2"/>
      <c r="W39" s="2"/>
      <c r="X39" s="2"/>
      <c r="Y39" s="2"/>
      <c r="Z39" s="2"/>
    </row>
    <row r="40" spans="1:26" x14ac:dyDescent="0.3">
      <c r="A40" s="24"/>
      <c r="B40" s="60" t="s">
        <v>23</v>
      </c>
      <c r="C40" s="61"/>
      <c r="D40" s="61"/>
      <c r="E40" s="61"/>
      <c r="F40" s="62"/>
      <c r="G40" s="27"/>
      <c r="H40" s="2"/>
      <c r="M40" s="5"/>
      <c r="N40" s="5"/>
      <c r="O40" s="5"/>
      <c r="P40" s="5"/>
      <c r="Q40" s="5"/>
      <c r="R40" s="5"/>
      <c r="S40" s="2"/>
      <c r="T40" s="2"/>
      <c r="U40" s="2"/>
      <c r="V40" s="2"/>
      <c r="W40" s="2"/>
      <c r="X40" s="2"/>
      <c r="Y40" s="2"/>
      <c r="Z40" s="2"/>
    </row>
    <row r="41" spans="1:26" ht="26.4" customHeight="1" x14ac:dyDescent="0.3">
      <c r="A41" s="25">
        <v>1</v>
      </c>
      <c r="B41" s="45" t="s">
        <v>24</v>
      </c>
      <c r="C41" s="46"/>
      <c r="D41" s="46"/>
      <c r="E41" s="46"/>
      <c r="F41" s="47"/>
      <c r="G41" s="2"/>
      <c r="H41" s="2"/>
      <c r="M41" s="5"/>
      <c r="N41" s="5"/>
      <c r="O41" s="5"/>
      <c r="P41" s="5"/>
      <c r="Q41" s="5"/>
      <c r="R41" s="5"/>
      <c r="S41" s="2"/>
      <c r="T41" s="2"/>
      <c r="U41" s="2"/>
      <c r="V41" s="2"/>
      <c r="W41" s="2"/>
      <c r="X41" s="2"/>
      <c r="Y41" s="2"/>
      <c r="Z41" s="2"/>
    </row>
    <row r="42" spans="1:26" ht="26.4" customHeight="1" x14ac:dyDescent="0.3">
      <c r="A42" s="25">
        <v>2</v>
      </c>
      <c r="B42" s="45" t="s">
        <v>25</v>
      </c>
      <c r="C42" s="46"/>
      <c r="D42" s="46"/>
      <c r="E42" s="46"/>
      <c r="F42" s="47"/>
      <c r="G42" s="2"/>
      <c r="H42" s="2"/>
      <c r="M42" s="5"/>
      <c r="N42" s="5"/>
      <c r="O42" s="5"/>
      <c r="P42" s="5"/>
      <c r="Q42" s="5"/>
      <c r="R42" s="5"/>
      <c r="S42" s="2"/>
      <c r="T42" s="2"/>
      <c r="U42" s="2"/>
      <c r="V42" s="2"/>
      <c r="W42" s="2"/>
      <c r="X42" s="2"/>
      <c r="Y42" s="2"/>
      <c r="Z42" s="2"/>
    </row>
    <row r="43" spans="1:26" ht="26.4" customHeight="1" x14ac:dyDescent="0.3">
      <c r="A43" s="25">
        <v>3</v>
      </c>
      <c r="B43" s="45" t="s">
        <v>26</v>
      </c>
      <c r="C43" s="46"/>
      <c r="D43" s="46"/>
      <c r="E43" s="46"/>
      <c r="F43" s="47"/>
      <c r="G43" s="2"/>
      <c r="H43" s="2"/>
      <c r="M43" s="5"/>
      <c r="N43" s="5"/>
      <c r="O43" s="5"/>
      <c r="P43" s="5"/>
      <c r="Q43" s="5"/>
      <c r="R43" s="5"/>
      <c r="S43" s="2"/>
      <c r="T43" s="2"/>
      <c r="U43" s="2"/>
      <c r="V43" s="2"/>
      <c r="W43" s="2"/>
      <c r="X43" s="2"/>
      <c r="Y43" s="2"/>
      <c r="Z43" s="2"/>
    </row>
    <row r="44" spans="1:26" ht="26.4" customHeight="1" x14ac:dyDescent="0.3">
      <c r="A44" s="25">
        <v>4</v>
      </c>
      <c r="B44" s="45" t="s">
        <v>27</v>
      </c>
      <c r="C44" s="46"/>
      <c r="D44" s="46"/>
      <c r="E44" s="46"/>
      <c r="F44" s="47"/>
      <c r="G44" s="2"/>
      <c r="H44" s="2"/>
      <c r="M44" s="5"/>
      <c r="N44" s="5"/>
      <c r="O44" s="5"/>
      <c r="P44" s="5"/>
      <c r="Q44" s="5"/>
      <c r="R44" s="5"/>
      <c r="S44" s="2"/>
      <c r="T44" s="2"/>
      <c r="U44" s="2"/>
      <c r="V44" s="2"/>
      <c r="W44" s="2"/>
      <c r="X44" s="2"/>
      <c r="Y44" s="2"/>
      <c r="Z44" s="2"/>
    </row>
    <row r="45" spans="1:26" ht="26.4" customHeight="1" x14ac:dyDescent="0.3">
      <c r="A45" s="25">
        <v>5</v>
      </c>
      <c r="B45" s="45" t="s">
        <v>28</v>
      </c>
      <c r="C45" s="46"/>
      <c r="D45" s="46"/>
      <c r="E45" s="46"/>
      <c r="F45" s="47"/>
      <c r="G45" s="2"/>
      <c r="H45" s="2"/>
      <c r="M45" s="5"/>
      <c r="N45" s="5"/>
      <c r="O45" s="5"/>
      <c r="P45" s="5"/>
      <c r="Q45" s="5"/>
      <c r="R45" s="5"/>
      <c r="S45" s="2"/>
      <c r="T45" s="2"/>
      <c r="U45" s="2"/>
      <c r="V45" s="2"/>
      <c r="W45" s="2"/>
      <c r="X45" s="2"/>
      <c r="Y45" s="2"/>
      <c r="Z45" s="2"/>
    </row>
    <row r="46" spans="1:26" ht="26.4" customHeight="1" x14ac:dyDescent="0.3">
      <c r="A46" s="25">
        <v>6</v>
      </c>
      <c r="B46" s="45" t="s">
        <v>29</v>
      </c>
      <c r="C46" s="46"/>
      <c r="D46" s="46"/>
      <c r="E46" s="46"/>
      <c r="F46" s="47"/>
      <c r="G46" s="2"/>
      <c r="H46" s="2"/>
      <c r="M46" s="5"/>
      <c r="N46" s="5"/>
      <c r="O46" s="5"/>
      <c r="P46" s="5"/>
      <c r="Q46" s="5"/>
      <c r="R46" s="5"/>
      <c r="S46" s="2"/>
      <c r="T46" s="2"/>
      <c r="U46" s="2"/>
      <c r="V46" s="2"/>
      <c r="W46" s="2"/>
      <c r="X46" s="2"/>
      <c r="Y46" s="2"/>
      <c r="Z46" s="2"/>
    </row>
    <row r="47" spans="1:26" x14ac:dyDescent="0.3">
      <c r="A47" s="2"/>
      <c r="B47" s="39"/>
      <c r="C47" s="2"/>
      <c r="D47" s="2"/>
      <c r="E47" s="2"/>
      <c r="F47" s="2"/>
      <c r="G47" s="2"/>
      <c r="H47" s="2"/>
      <c r="M47" s="5"/>
      <c r="N47" s="5"/>
      <c r="O47" s="5"/>
      <c r="P47" s="5"/>
      <c r="Q47" s="5"/>
      <c r="R47" s="5"/>
      <c r="S47" s="2"/>
      <c r="T47" s="2"/>
      <c r="U47" s="2"/>
      <c r="V47" s="2"/>
      <c r="W47" s="2"/>
      <c r="X47" s="2"/>
      <c r="Y47" s="2"/>
      <c r="Z47" s="2"/>
    </row>
    <row r="48" spans="1:26" x14ac:dyDescent="0.3">
      <c r="A48" s="2"/>
      <c r="B48" s="2"/>
      <c r="C48" s="2"/>
      <c r="D48" s="2"/>
      <c r="E48" s="41"/>
      <c r="F48" s="2"/>
      <c r="G48" s="2"/>
      <c r="H48" s="2"/>
      <c r="M48" s="5"/>
      <c r="N48" s="5"/>
      <c r="O48" s="5"/>
      <c r="P48" s="5"/>
      <c r="Q48" s="5"/>
      <c r="R48" s="5"/>
      <c r="S48" s="2"/>
      <c r="T48" s="2"/>
      <c r="U48" s="2"/>
      <c r="V48" s="2"/>
      <c r="W48" s="2"/>
      <c r="X48" s="2"/>
      <c r="Y48" s="2"/>
      <c r="Z48" s="2"/>
    </row>
    <row r="49" spans="1:26" x14ac:dyDescent="0.3">
      <c r="A49" s="2"/>
      <c r="B49" s="2"/>
      <c r="C49" s="2"/>
      <c r="D49" s="2"/>
      <c r="E49" s="41"/>
      <c r="F49" s="2"/>
      <c r="G49" s="2"/>
      <c r="H49" s="2"/>
      <c r="M49" s="5"/>
      <c r="N49" s="5"/>
      <c r="O49" s="5"/>
      <c r="P49" s="5"/>
      <c r="Q49" s="5"/>
      <c r="R49" s="5"/>
      <c r="S49" s="2"/>
      <c r="T49" s="2"/>
      <c r="U49" s="2"/>
      <c r="V49" s="2"/>
      <c r="W49" s="2"/>
      <c r="X49" s="2"/>
      <c r="Y49" s="2"/>
      <c r="Z49" s="2"/>
    </row>
    <row r="50" spans="1:26" x14ac:dyDescent="0.3">
      <c r="A50" s="2"/>
      <c r="B50" s="2"/>
      <c r="C50" s="2"/>
      <c r="D50" s="2"/>
      <c r="E50" s="41"/>
      <c r="F50" s="2"/>
      <c r="G50" s="2"/>
      <c r="H50" s="2"/>
      <c r="M50" s="5"/>
      <c r="N50" s="5"/>
      <c r="O50" s="5"/>
      <c r="P50" s="5"/>
      <c r="Q50" s="5"/>
      <c r="R50" s="5"/>
      <c r="S50" s="2"/>
      <c r="T50" s="2"/>
      <c r="U50" s="2"/>
      <c r="V50" s="2"/>
      <c r="W50" s="2"/>
      <c r="X50" s="2"/>
      <c r="Y50" s="2"/>
      <c r="Z50" s="2"/>
    </row>
    <row r="51" spans="1:26" x14ac:dyDescent="0.3">
      <c r="A51" s="2"/>
      <c r="B51" s="40"/>
      <c r="C51" s="2"/>
      <c r="D51" s="40"/>
      <c r="E51" s="41"/>
      <c r="F51" s="2"/>
      <c r="G51" s="2"/>
      <c r="H51" s="2"/>
      <c r="M51" s="5"/>
      <c r="N51" s="5"/>
      <c r="O51" s="5"/>
      <c r="P51" s="5"/>
      <c r="Q51" s="5"/>
      <c r="R51" s="5"/>
      <c r="S51" s="2"/>
      <c r="T51" s="2"/>
      <c r="U51" s="2"/>
      <c r="V51" s="2"/>
      <c r="W51" s="2"/>
      <c r="X51" s="2"/>
      <c r="Y51" s="2"/>
      <c r="Z51" s="2"/>
    </row>
    <row r="52" spans="1:26" x14ac:dyDescent="0.3">
      <c r="A52" s="2"/>
      <c r="B52" s="40"/>
      <c r="C52" s="2"/>
      <c r="D52" s="40"/>
      <c r="E52" s="41"/>
      <c r="F52" s="2"/>
      <c r="G52" s="2"/>
      <c r="H52" s="2"/>
      <c r="M52" s="5"/>
      <c r="N52" s="5"/>
      <c r="O52" s="5"/>
      <c r="P52" s="5"/>
      <c r="Q52" s="5"/>
      <c r="R52" s="5"/>
      <c r="S52" s="2"/>
      <c r="T52" s="2"/>
      <c r="U52" s="2"/>
      <c r="V52" s="2"/>
      <c r="W52" s="2"/>
      <c r="X52" s="2"/>
      <c r="Y52" s="2"/>
      <c r="Z52" s="2"/>
    </row>
    <row r="53" spans="1:26" x14ac:dyDescent="0.3">
      <c r="A53" s="2"/>
      <c r="B53" s="40"/>
      <c r="C53" s="40"/>
      <c r="D53" s="40"/>
      <c r="E53" s="41"/>
      <c r="F53" s="2"/>
      <c r="G53" s="2"/>
      <c r="H53" s="2"/>
      <c r="M53" s="5"/>
      <c r="N53" s="5"/>
      <c r="O53" s="5"/>
      <c r="P53" s="5"/>
      <c r="Q53" s="5"/>
      <c r="R53" s="5"/>
      <c r="S53" s="2"/>
      <c r="T53" s="2"/>
      <c r="U53" s="2"/>
      <c r="V53" s="2"/>
      <c r="W53" s="2"/>
      <c r="X53" s="2"/>
      <c r="Y53" s="2"/>
      <c r="Z53" s="2"/>
    </row>
    <row r="54" spans="1:26" x14ac:dyDescent="0.3">
      <c r="A54" s="2"/>
      <c r="B54" s="40"/>
      <c r="C54" s="40"/>
      <c r="D54" s="40"/>
      <c r="E54" s="41"/>
      <c r="F54" s="2"/>
      <c r="G54" s="2"/>
      <c r="H54" s="2"/>
      <c r="M54" s="5"/>
      <c r="N54" s="5"/>
      <c r="O54" s="5"/>
      <c r="P54" s="5"/>
      <c r="Q54" s="5"/>
      <c r="R54" s="5"/>
      <c r="S54" s="2"/>
      <c r="T54" s="2"/>
      <c r="U54" s="2"/>
      <c r="V54" s="2"/>
      <c r="W54" s="2"/>
      <c r="X54" s="2"/>
      <c r="Y54" s="2"/>
      <c r="Z54" s="2"/>
    </row>
    <row r="55" spans="1:26" x14ac:dyDescent="0.3">
      <c r="A55" s="2"/>
      <c r="B55" s="40"/>
      <c r="C55" s="40"/>
      <c r="D55" s="40"/>
      <c r="E55" s="41"/>
      <c r="F55" s="2"/>
      <c r="G55" s="2"/>
      <c r="H55" s="2"/>
      <c r="M55" s="5"/>
      <c r="N55" s="5"/>
      <c r="O55" s="5"/>
      <c r="P55" s="5"/>
      <c r="Q55" s="5"/>
      <c r="R55" s="5"/>
      <c r="S55" s="2"/>
      <c r="T55" s="2"/>
      <c r="U55" s="2"/>
      <c r="V55" s="2"/>
      <c r="W55" s="2"/>
      <c r="X55" s="2"/>
      <c r="Y55" s="2"/>
      <c r="Z55" s="2"/>
    </row>
    <row r="56" spans="1:26" x14ac:dyDescent="0.3">
      <c r="A56" s="2"/>
      <c r="B56" s="2"/>
      <c r="C56" s="2"/>
      <c r="D56" s="2"/>
      <c r="E56" s="42"/>
      <c r="F56" s="2"/>
      <c r="G56" s="2"/>
      <c r="H56" s="2"/>
      <c r="M56" s="5"/>
      <c r="N56" s="5"/>
      <c r="O56" s="5"/>
      <c r="P56" s="5"/>
      <c r="Q56" s="5"/>
      <c r="R56" s="5"/>
      <c r="S56" s="2"/>
      <c r="T56" s="2"/>
      <c r="U56" s="2"/>
      <c r="V56" s="2"/>
      <c r="W56" s="2"/>
      <c r="X56" s="2"/>
      <c r="Y56" s="2"/>
      <c r="Z56" s="2"/>
    </row>
    <row r="57" spans="1:26" x14ac:dyDescent="0.3">
      <c r="A57" s="2"/>
      <c r="B57" s="2"/>
      <c r="C57" s="2"/>
      <c r="D57" s="2"/>
      <c r="E57" s="2"/>
      <c r="F57" s="2"/>
      <c r="G57" s="2"/>
      <c r="H57" s="2"/>
      <c r="M57" s="5"/>
      <c r="N57" s="5"/>
      <c r="O57" s="5"/>
      <c r="P57" s="5"/>
      <c r="Q57" s="5"/>
      <c r="R57" s="5"/>
      <c r="S57" s="2"/>
      <c r="T57" s="2"/>
      <c r="U57" s="2"/>
      <c r="V57" s="2"/>
      <c r="W57" s="2"/>
      <c r="X57" s="2"/>
      <c r="Y57" s="2"/>
      <c r="Z57" s="2"/>
    </row>
    <row r="58" spans="1:26"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x14ac:dyDescent="0.3">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x14ac:dyDescent="0.3">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x14ac:dyDescent="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x14ac:dyDescent="0.3">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x14ac:dyDescent="0.3">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sheetData>
  <mergeCells count="11">
    <mergeCell ref="B1:F2"/>
    <mergeCell ref="C3:D3"/>
    <mergeCell ref="C4:D4"/>
    <mergeCell ref="C38:F38"/>
    <mergeCell ref="B40:F40"/>
    <mergeCell ref="B43:F43"/>
    <mergeCell ref="B44:F44"/>
    <mergeCell ref="B45:F45"/>
    <mergeCell ref="B46:F46"/>
    <mergeCell ref="B41:F41"/>
    <mergeCell ref="B42:F42"/>
  </mergeCells>
  <pageMargins left="0.25" right="0.25" top="0.75" bottom="0.75" header="0.3" footer="0.3"/>
  <pageSetup paperSize="9" scale="9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Abstract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 Vaishnavi</dc:creator>
  <cp:lastModifiedBy>SOWMIYA B</cp:lastModifiedBy>
  <cp:lastPrinted>2025-05-15T09:19:15Z</cp:lastPrinted>
  <dcterms:created xsi:type="dcterms:W3CDTF">2025-02-15T14:58:29Z</dcterms:created>
  <dcterms:modified xsi:type="dcterms:W3CDTF">2025-07-21T05:26:21Z</dcterms:modified>
</cp:coreProperties>
</file>